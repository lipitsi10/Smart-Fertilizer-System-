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- Smart Fertilizer 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right" vertical="center"/>
    </xf>
    <xf numFmtId="0" fontId="0" fillId="5" borderId="2" pivotButton="0" quotePrefix="0" xfId="0"/>
    <xf numFmtId="0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35" customWidth="1" min="3" max="3"/>
    <col width="38" customWidth="1" min="4" max="4"/>
    <col width="8" customWidth="1" min="5" max="5"/>
    <col width="18" customWidth="1" min="6" max="6"/>
    <col width="18" customWidth="1" min="7" max="7"/>
  </cols>
  <sheetData>
    <row r="1" ht="28" customHeight="1">
      <c r="A1" s="1" t="inlineStr">
        <is>
          <t>SMART FERTILIZER SYSTEM — BILL OF MATERIALS (BOM)</t>
        </is>
      </c>
    </row>
    <row r="2" ht="18" customHeight="1">
      <c r="A2" s="2" t="inlineStr">
        <is>
          <t>Seabi Tech Innovations | MQTT Edition (ESP32 Based) — South African Rand (ZAR)</t>
        </is>
      </c>
    </row>
    <row r="4" ht="24" customHeight="1">
      <c r="A4" s="3" t="inlineStr">
        <is>
          <t>Item #</t>
        </is>
      </c>
      <c r="B4" s="4" t="inlineStr">
        <is>
          <t>Component Description</t>
        </is>
      </c>
      <c r="C4" s="4" t="inlineStr">
        <is>
          <t>Designator / Pin Ref in Code</t>
        </is>
      </c>
      <c r="D4" s="4" t="inlineStr">
        <is>
          <t>Manufacturer / Specification</t>
        </is>
      </c>
      <c r="E4" s="3" t="inlineStr">
        <is>
          <t>Qty</t>
        </is>
      </c>
      <c r="F4" s="5" t="inlineStr">
        <is>
          <t>Est. Unit Cost (R)</t>
        </is>
      </c>
      <c r="G4" s="5" t="inlineStr">
        <is>
          <t>Total Cost (R)</t>
        </is>
      </c>
    </row>
    <row r="5" ht="20" customHeight="1">
      <c r="A5" s="6" t="n">
        <v>1</v>
      </c>
      <c r="B5" s="7" t="inlineStr">
        <is>
          <t>ESP32 Development Board (30-pin / 38-pin)</t>
        </is>
      </c>
      <c r="C5" s="7" t="inlineStr">
        <is>
          <t>U1 (WiFi / MCU)</t>
        </is>
      </c>
      <c r="D5" s="7" t="inlineStr">
        <is>
          <t>ESP32-WROOM-32U / NodeMCU</t>
        </is>
      </c>
      <c r="E5" s="6" t="n">
        <v>1</v>
      </c>
      <c r="F5" s="8" t="n">
        <v>120</v>
      </c>
      <c r="G5" s="8">
        <f>E5*F5</f>
        <v/>
      </c>
    </row>
    <row r="6" ht="20" customHeight="1">
      <c r="A6" s="9" t="n">
        <v>2</v>
      </c>
      <c r="B6" s="10" t="inlineStr">
        <is>
          <t>2.2" / 2.8" SPI TFT Display (ILI9341)</t>
        </is>
      </c>
      <c r="C6" s="10" t="inlineStr">
        <is>
          <t>TFT_CS(15), TFT_DC(2), TFT_RST(4), MOSI(23), MISO(19), SCK(18)</t>
        </is>
      </c>
      <c r="D6" s="10" t="inlineStr">
        <is>
          <t>ILI9341 240x320 SPI LCD Module</t>
        </is>
      </c>
      <c r="E6" s="9" t="n">
        <v>1</v>
      </c>
      <c r="F6" s="11" t="n">
        <v>180</v>
      </c>
      <c r="G6" s="11">
        <f>E6*F6</f>
        <v/>
      </c>
    </row>
    <row r="7" ht="20" customHeight="1">
      <c r="A7" s="6" t="n">
        <v>3</v>
      </c>
      <c r="B7" s="7" t="inlineStr">
        <is>
          <t>Capacitive Soil Moisture Sensor v1.2</t>
        </is>
      </c>
      <c r="C7" s="7" t="inlineStr">
        <is>
          <t>SOIL_PIN (GPIO 34 - ADC)</t>
        </is>
      </c>
      <c r="D7" s="7" t="inlineStr">
        <is>
          <t>Capacitive Moisture Sensor (Analog Output)</t>
        </is>
      </c>
      <c r="E7" s="6" t="n">
        <v>1</v>
      </c>
      <c r="F7" s="8" t="n">
        <v>45</v>
      </c>
      <c r="G7" s="8">
        <f>E7*F7</f>
        <v/>
      </c>
    </row>
    <row r="8" ht="20" customHeight="1">
      <c r="A8" s="9" t="n">
        <v>4</v>
      </c>
      <c r="B8" s="10" t="inlineStr">
        <is>
          <t>DHT11 Temperature &amp; Humidity Sensor</t>
        </is>
      </c>
      <c r="C8" s="10" t="inlineStr">
        <is>
          <t>DHT_PIN (GPIO 27)</t>
        </is>
      </c>
      <c r="D8" s="10" t="inlineStr">
        <is>
          <t>DHT11 Digital Sensor Module</t>
        </is>
      </c>
      <c r="E8" s="9" t="n">
        <v>1</v>
      </c>
      <c r="F8" s="11" t="n">
        <v>35</v>
      </c>
      <c r="G8" s="11">
        <f>E8*F8</f>
        <v/>
      </c>
    </row>
    <row r="9" ht="20" customHeight="1">
      <c r="A9" s="6" t="n">
        <v>5</v>
      </c>
      <c r="B9" s="7" t="inlineStr">
        <is>
          <t>5V Relay Module (Low-level trigger)</t>
        </is>
      </c>
      <c r="C9" s="7" t="inlineStr">
        <is>
          <t>PUMP_PIN (GPIO 26)</t>
        </is>
      </c>
      <c r="D9" s="7" t="inlineStr">
        <is>
          <t>Songle SRD-05VDC-SL-C Relay</t>
        </is>
      </c>
      <c r="E9" s="6" t="n">
        <v>1</v>
      </c>
      <c r="F9" s="8" t="n">
        <v>30</v>
      </c>
      <c r="G9" s="8">
        <f>E9*F9</f>
        <v/>
      </c>
    </row>
    <row r="10" ht="20" customHeight="1">
      <c r="A10" s="9" t="n">
        <v>6</v>
      </c>
      <c r="B10" s="10" t="inlineStr">
        <is>
          <t>12V DC Mini Submersible / Diaphragm Pump</t>
        </is>
      </c>
      <c r="C10" s="10" t="inlineStr">
        <is>
          <t>Connected via Relay Contacts</t>
        </is>
      </c>
      <c r="D10" s="10" t="inlineStr">
        <is>
          <t>12V Micro Water / Liquid Pump (6W-12W)</t>
        </is>
      </c>
      <c r="E10" s="9" t="n">
        <v>1</v>
      </c>
      <c r="F10" s="11" t="n">
        <v>150</v>
      </c>
      <c r="G10" s="11">
        <f>E10*F10</f>
        <v/>
      </c>
    </row>
    <row r="11" ht="20" customHeight="1">
      <c r="A11" s="6" t="n">
        <v>7</v>
      </c>
      <c r="B11" s="7" t="inlineStr">
        <is>
          <t>AC to DC Power Adapter 12V 2A</t>
        </is>
      </c>
      <c r="C11" s="7" t="inlineStr">
        <is>
          <t>Main Power Inlet</t>
        </is>
      </c>
      <c r="D11" s="7" t="inlineStr">
        <is>
          <t>12V 2A DC Power Supply (5.5mm jack)</t>
        </is>
      </c>
      <c r="E11" s="6" t="n">
        <v>1</v>
      </c>
      <c r="F11" s="8" t="n">
        <v>95</v>
      </c>
      <c r="G11" s="8">
        <f>E11*F11</f>
        <v/>
      </c>
    </row>
    <row r="12" ht="20" customHeight="1">
      <c r="A12" s="9" t="n">
        <v>8</v>
      </c>
      <c r="B12" s="10" t="inlineStr">
        <is>
          <t>DC-DC Buck Converter Step-Down Module</t>
        </is>
      </c>
      <c r="C12" s="10" t="inlineStr">
        <is>
          <t>12V to 5V Rail Converter</t>
        </is>
      </c>
      <c r="D12" s="10" t="inlineStr">
        <is>
          <t>LM2596 or MP1584EN Step-Down Module</t>
        </is>
      </c>
      <c r="E12" s="9" t="n">
        <v>1</v>
      </c>
      <c r="F12" s="11" t="n">
        <v>30</v>
      </c>
      <c r="G12" s="11">
        <f>E12*F12</f>
        <v/>
      </c>
    </row>
    <row r="13" ht="20" customHeight="1">
      <c r="A13" s="6" t="n">
        <v>9</v>
      </c>
      <c r="B13" s="7" t="inlineStr">
        <is>
          <t>Solderless Breadboard / Custom PCB Board</t>
        </is>
      </c>
      <c r="C13" s="7" t="inlineStr">
        <is>
          <t>System Interconnect</t>
        </is>
      </c>
      <c r="D13" s="7" t="inlineStr">
        <is>
          <t>830 Point Breadboard / Prototype PCB</t>
        </is>
      </c>
      <c r="E13" s="6" t="n">
        <v>1</v>
      </c>
      <c r="F13" s="8" t="n">
        <v>60</v>
      </c>
      <c r="G13" s="8">
        <f>E13*F13</f>
        <v/>
      </c>
    </row>
    <row r="14" ht="20" customHeight="1">
      <c r="A14" s="9" t="n">
        <v>10</v>
      </c>
      <c r="B14" s="10" t="inlineStr">
        <is>
          <t>Dupont Jumper Wires Assortment</t>
        </is>
      </c>
      <c r="C14" s="10" t="inlineStr">
        <is>
          <t>Inter-module Wiring</t>
        </is>
      </c>
      <c r="D14" s="10" t="inlineStr">
        <is>
          <t>20cm Male-to-Male / Male-to-Female Ribbon</t>
        </is>
      </c>
      <c r="E14" s="9" t="n">
        <v>1</v>
      </c>
      <c r="F14" s="11" t="n">
        <v>45</v>
      </c>
      <c r="G14" s="11">
        <f>E14*F14</f>
        <v/>
      </c>
    </row>
    <row r="15" ht="24" customHeight="1">
      <c r="A15" s="12" t="inlineStr">
        <is>
          <t>TOTAL ESTIMATED HARDWARE COST</t>
        </is>
      </c>
      <c r="B15" s="13" t="n"/>
      <c r="C15" s="13" t="n"/>
      <c r="D15" s="13" t="n"/>
      <c r="E15" s="14">
        <f>SUM(E5:E14)</f>
        <v/>
      </c>
      <c r="F15" s="13" t="inlineStr"/>
      <c r="G15" s="15">
        <f>SUM(G5:G14)</f>
        <v/>
      </c>
    </row>
    <row r="17">
      <c r="A17" s="16" t="inlineStr">
        <is>
          <t>Notes &amp; System Remarks:</t>
        </is>
      </c>
    </row>
    <row r="18">
      <c r="A18" s="17" t="inlineStr">
        <is>
          <t>1. Pin definitions derived directly from C++ source code (TFT CS: 15, DC: 2, RST: 4, MOSI: 23, MISO: 19, SCK: 18).</t>
        </is>
      </c>
    </row>
    <row r="19">
      <c r="A19" s="17" t="inlineStr">
        <is>
          <t>2. Soil moisture sensor operates on GPIO 34 (ADC1), Relay on GPIO 26, DHT11 temp/humidity on GPIO 27.</t>
        </is>
      </c>
    </row>
    <row r="20">
      <c r="A20" s="17" t="inlineStr">
        <is>
          <t>3. Prices are estimated South African Rand (ZAR) retail rates from local component suppliers (e.g., Communica, Micro Robotics, Botland).</t>
        </is>
      </c>
    </row>
  </sheetData>
  <mergeCells count="3">
    <mergeCell ref="A15:D15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2026-09-09T21:26:18Z</dcterms:created>
  <dcterms:modified xmlns:dcterms="http://purl.org/dc/terms/" xmlns:xsi="http://www.w3.org/2001/XMLSchema-instance" xsi:type="dcterms:W3CDTF">2026-09-09T21:26:18Z</dcterms:modified>
</cp:coreProperties>
</file>